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tarifaire" sheetId="1" state="visible" r:id="rId1"/>
    <sheet xmlns:r="http://schemas.openxmlformats.org/officeDocument/2006/relationships" name="Calibrage marché" sheetId="2" state="visible" r:id="rId2"/>
    <sheet xmlns:r="http://schemas.openxmlformats.org/officeDocument/2006/relationships" name="Parametres" sheetId="3" state="visible" r:id="rId3"/>
    <sheet xmlns:r="http://schemas.openxmlformats.org/officeDocument/2006/relationships" name="Exemples chiffré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"/>
    </font>
    <font>
      <i val="1"/>
      <color rgb="00555555"/>
      <sz val="9"/>
    </font>
    <font>
      <b val="1"/>
      <color rgb="00FFFFFF"/>
      <sz val="11"/>
    </font>
    <font>
      <sz val="9"/>
    </font>
    <font>
      <color rgb="000563C1"/>
      <sz val="9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3FA"/>
      </patternFill>
    </fill>
    <fill>
      <patternFill patternType="solid">
        <fgColor rgb="00FDF2E3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8CCE0"/>
      </left>
      <right style="thin">
        <color rgb="00B8CCE0"/>
      </right>
      <top style="thin">
        <color rgb="00B8CCE0"/>
      </top>
      <bottom style="thin">
        <color rgb="00B8CC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0" fillId="0" borderId="1" pivotButton="0" quotePrefix="0" xfId="0"/>
    <xf numFmtId="9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chadinfos.com/2026/03/17/ndjamena-les-telephones-deviennent-rares-et-hors-de-prix-a-cause-de-la-guerre-au-moyen-orient/" TargetMode="External" Id="rId1"/><Relationship Type="http://schemas.openxmlformats.org/officeDocument/2006/relationships/hyperlink" Target="https://www.linkedin.com/posts/tigotchad_moovmoney-moovafricatchad-activity-7361412429085384705-RhAu" TargetMode="External" Id="rId2"/><Relationship Type="http://schemas.openxmlformats.org/officeDocument/2006/relationships/hyperlink" Target="https://tarifo.pro/" TargetMode="External" Id="rId3"/><Relationship Type="http://schemas.openxmlformats.org/officeDocument/2006/relationships/hyperlink" Target="https://www.alwihdainfo.com/tchad-le-veritable-cout-cache-des-demarches-administrativ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8" customWidth="1" min="3" max="3"/>
    <col width="18" customWidth="1" min="4" max="4"/>
    <col width="20" customWidth="1" min="5" max="5"/>
    <col width="20" customWidth="1" min="6" max="6"/>
    <col width="11" customWidth="1" min="7" max="7"/>
    <col width="40" customWidth="1" min="8" max="8"/>
  </cols>
  <sheetData>
    <row r="1">
      <c r="A1" s="1" t="inlineStr">
        <is>
          <t>LIGUITA — Grille tarifaire détaillée (particuliers)</t>
        </is>
      </c>
    </row>
    <row r="2">
      <c r="A2" s="2" t="inlineStr">
        <is>
          <t>Frais de mise en relation par classe d'objet — FCFA (XAF) · Version 2.1 — septembre 2026</t>
        </is>
      </c>
    </row>
    <row r="3">
      <c r="A3" s="3" t="inlineStr">
        <is>
          <t>Calibrée sur les prix observés à N'Djamena (septembre 2026) — voir l'onglet « Calibrage marché ». Les tranches de valeur estimée sont indicatives. Règle : valeur déclarée &gt; 1 000 000 FCFA → classe C5.</t>
        </is>
      </c>
    </row>
    <row r="4">
      <c r="A4" s="4" t="inlineStr">
        <is>
          <t>Type d'objet</t>
        </is>
      </c>
      <c r="B4" s="4" t="inlineStr">
        <is>
          <t>Classe</t>
        </is>
      </c>
      <c r="C4" s="4" t="inlineStr">
        <is>
          <t>Valeur estimée indicative (FCFA)</t>
        </is>
      </c>
      <c r="D4" s="4" t="inlineStr">
        <is>
          <t>Frais de base (FCFA)</t>
        </is>
      </c>
      <c r="E4" s="4" t="inlineStr">
        <is>
          <t>Récompense trouveur (FCFA)</t>
        </is>
      </c>
      <c r="F4" s="4" t="inlineStr">
        <is>
          <t>Commission Liguita (FCFA)</t>
        </is>
      </c>
      <c r="G4" s="4" t="inlineStr">
        <is>
          <t>Part trouveur</t>
        </is>
      </c>
      <c r="H4" s="4" t="inlineStr">
        <is>
          <t>Remarques</t>
        </is>
      </c>
    </row>
    <row r="5">
      <c r="A5" s="5" t="inlineStr">
        <is>
          <t>Carte d'identité, passeport, permis de conduire</t>
        </is>
      </c>
      <c r="B5" s="6" t="inlineStr">
        <is>
          <t>C1</t>
        </is>
      </c>
      <c r="C5" s="5" t="inlineStr">
        <is>
          <t>5 000 – 60 000 (remplacement officiel : CNI 10 000, permis 25 000, passeport 60 000)</t>
        </is>
      </c>
      <c r="D5" s="7">
        <f>IF($B5="C5", ROUND(MAX(Parametres!$B$12, MIN(Parametres!$B$13, Parametres!$B$11*1500000)), 0), VLOOKUP($B5,Parametres!$A$4:$C$8,2,0))</f>
        <v/>
      </c>
      <c r="E5" s="7">
        <f>IF($B5="C5", ROUND($D5*Parametres!$B$14,0), VLOOKUP($B5,Parametres!$A$4:$C$8,3,0))</f>
        <v/>
      </c>
      <c r="F5" s="7">
        <f>$D5-$E5</f>
        <v/>
      </c>
      <c r="G5" s="8">
        <f>$E5/$D5</f>
        <v/>
      </c>
      <c r="H5" s="5" t="inlineStr"/>
    </row>
    <row r="6">
      <c r="A6" s="9" t="inlineStr">
        <is>
          <t>Carte d'étudiant / carte professionnelle</t>
        </is>
      </c>
      <c r="B6" s="10" t="inlineStr">
        <is>
          <t>C1</t>
        </is>
      </c>
      <c r="C6" s="9" t="inlineStr">
        <is>
          <t>&lt; 10 000</t>
        </is>
      </c>
      <c r="D6" s="11">
        <f>IF($B6="C5", ROUND(MAX(Parametres!$B$12, MIN(Parametres!$B$13, Parametres!$B$11*1500000)), 0), VLOOKUP($B6,Parametres!$A$4:$C$8,2,0))</f>
        <v/>
      </c>
      <c r="E6" s="11">
        <f>IF($B6="C5", ROUND($D6*Parametres!$B$14,0), VLOOKUP($B6,Parametres!$A$4:$C$8,3,0))</f>
        <v/>
      </c>
      <c r="F6" s="11">
        <f>$D6-$E6</f>
        <v/>
      </c>
      <c r="G6" s="12">
        <f>$E6/$D6</f>
        <v/>
      </c>
      <c r="H6" s="9" t="inlineStr"/>
    </row>
    <row r="7">
      <c r="A7" s="5" t="inlineStr">
        <is>
          <t>Diplôme, carnet de santé, documents administratifs</t>
        </is>
      </c>
      <c r="B7" s="6" t="inlineStr">
        <is>
          <t>C1</t>
        </is>
      </c>
      <c r="C7" s="5" t="inlineStr">
        <is>
          <t>coût de duplication faible</t>
        </is>
      </c>
      <c r="D7" s="7">
        <f>IF($B7="C5", ROUND(MAX(Parametres!$B$12, MIN(Parametres!$B$13, Parametres!$B$11*1500000)), 0), VLOOKUP($B7,Parametres!$A$4:$C$8,2,0))</f>
        <v/>
      </c>
      <c r="E7" s="7">
        <f>IF($B7="C5", ROUND($D7*Parametres!$B$14,0), VLOOKUP($B7,Parametres!$A$4:$C$8,3,0))</f>
        <v/>
      </c>
      <c r="F7" s="7">
        <f>$D7-$E7</f>
        <v/>
      </c>
      <c r="G7" s="8">
        <f>$E7/$D7</f>
        <v/>
      </c>
      <c r="H7" s="5" t="inlineStr"/>
    </row>
    <row r="8">
      <c r="A8" s="9" t="inlineStr">
        <is>
          <t>Jeu de clés (sans véhicule)</t>
        </is>
      </c>
      <c r="B8" s="10" t="inlineStr">
        <is>
          <t>C2</t>
        </is>
      </c>
      <c r="C8" s="9" t="inlineStr">
        <is>
          <t>2 000 – 5 000 (duplication, proxy régional)</t>
        </is>
      </c>
      <c r="D8" s="11">
        <f>IF($B8="C5", ROUND(MAX(Parametres!$B$12, MIN(Parametres!$B$13, Parametres!$B$11*1500000)), 0), VLOOKUP($B8,Parametres!$A$4:$C$8,2,0))</f>
        <v/>
      </c>
      <c r="E8" s="11">
        <f>IF($B8="C5", ROUND($D8*Parametres!$B$14,0), VLOOKUP($B8,Parametres!$A$4:$C$8,3,0))</f>
        <v/>
      </c>
      <c r="F8" s="11">
        <f>$D8-$E8</f>
        <v/>
      </c>
      <c r="G8" s="12">
        <f>$E8/$D8</f>
        <v/>
      </c>
      <c r="H8" s="9" t="inlineStr"/>
    </row>
    <row r="9">
      <c r="A9" s="5" t="inlineStr">
        <is>
          <t>Portefeuille / sac à main (avec papiers)</t>
        </is>
      </c>
      <c r="B9" s="6" t="inlineStr">
        <is>
          <t>C2</t>
        </is>
      </c>
      <c r="C9" s="5" t="inlineStr">
        <is>
          <t>5 000 – 60 000 (contenu)</t>
        </is>
      </c>
      <c r="D9" s="7">
        <f>IF($B9="C5", ROUND(MAX(Parametres!$B$12, MIN(Parametres!$B$13, Parametres!$B$11*1500000)), 0), VLOOKUP($B9,Parametres!$A$4:$C$8,2,0))</f>
        <v/>
      </c>
      <c r="E9" s="7">
        <f>IF($B9="C5", ROUND($D9*Parametres!$B$14,0), VLOOKUP($B9,Parametres!$A$4:$C$8,3,0))</f>
        <v/>
      </c>
      <c r="F9" s="7">
        <f>$D9-$E9</f>
        <v/>
      </c>
      <c r="G9" s="8">
        <f>$E9/$D9</f>
        <v/>
      </c>
      <c r="H9" s="5" t="inlineStr"/>
    </row>
    <row r="10">
      <c r="A10" s="9" t="inlineStr">
        <is>
          <t>Sac à dos, bagage de voyage</t>
        </is>
      </c>
      <c r="B10" s="10" t="inlineStr">
        <is>
          <t>C2</t>
        </is>
      </c>
      <c r="C10" s="9" t="inlineStr">
        <is>
          <t>10 000 – 80 000</t>
        </is>
      </c>
      <c r="D10" s="11">
        <f>IF($B10="C5", ROUND(MAX(Parametres!$B$12, MIN(Parametres!$B$13, Parametres!$B$11*1500000)), 0), VLOOKUP($B10,Parametres!$A$4:$C$8,2,0))</f>
        <v/>
      </c>
      <c r="E10" s="11">
        <f>IF($B10="C5", ROUND($D10*Parametres!$B$14,0), VLOOKUP($B10,Parametres!$A$4:$C$8,3,0))</f>
        <v/>
      </c>
      <c r="F10" s="11">
        <f>$D10-$E10</f>
        <v/>
      </c>
      <c r="G10" s="12">
        <f>$E10/$D10</f>
        <v/>
      </c>
      <c r="H10" s="9" t="inlineStr">
        <is>
          <t>Article de marque → classe C4</t>
        </is>
      </c>
    </row>
    <row r="11">
      <c r="A11" s="5" t="inlineStr">
        <is>
          <t>Lunettes</t>
        </is>
      </c>
      <c r="B11" s="6" t="inlineStr">
        <is>
          <t>C2</t>
        </is>
      </c>
      <c r="C11" s="5" t="inlineStr">
        <is>
          <t>10 000 – 60 000</t>
        </is>
      </c>
      <c r="D11" s="7">
        <f>IF($B11="C5", ROUND(MAX(Parametres!$B$12, MIN(Parametres!$B$13, Parametres!$B$11*1500000)), 0), VLOOKUP($B11,Parametres!$A$4:$C$8,2,0))</f>
        <v/>
      </c>
      <c r="E11" s="7">
        <f>IF($B11="C5", ROUND($D11*Parametres!$B$14,0), VLOOKUP($B11,Parametres!$A$4:$C$8,3,0))</f>
        <v/>
      </c>
      <c r="F11" s="7">
        <f>$D11-$E11</f>
        <v/>
      </c>
      <c r="G11" s="8">
        <f>$E11/$D11</f>
        <v/>
      </c>
      <c r="H11" s="5" t="inlineStr"/>
    </row>
    <row r="12">
      <c r="A12" s="9" t="inlineStr">
        <is>
          <t>Vêtement, livre, bijou fantaisie</t>
        </is>
      </c>
      <c r="B12" s="10" t="inlineStr">
        <is>
          <t>C2</t>
        </is>
      </c>
      <c r="C12" s="9" t="inlineStr">
        <is>
          <t>&lt; 25 000</t>
        </is>
      </c>
      <c r="D12" s="11">
        <f>IF($B12="C5", ROUND(MAX(Parametres!$B$12, MIN(Parametres!$B$13, Parametres!$B$11*1500000)), 0), VLOOKUP($B12,Parametres!$A$4:$C$8,2,0))</f>
        <v/>
      </c>
      <c r="E12" s="11">
        <f>IF($B12="C5", ROUND($D12*Parametres!$B$14,0), VLOOKUP($B12,Parametres!$A$4:$C$8,3,0))</f>
        <v/>
      </c>
      <c r="F12" s="11">
        <f>$D12-$E12</f>
        <v/>
      </c>
      <c r="G12" s="12">
        <f>$E12/$D12</f>
        <v/>
      </c>
      <c r="H12" s="9" t="inlineStr"/>
    </row>
    <row r="13">
      <c r="A13" s="5" t="inlineStr">
        <is>
          <t>Téléphone entrée / milieu de gamme (Tecno Pop, Galaxy A16–A36)</t>
        </is>
      </c>
      <c r="B13" s="6" t="inlineStr">
        <is>
          <t>C3</t>
        </is>
      </c>
      <c r="C13" s="5" t="inlineStr">
        <is>
          <t>60 000 – 160 000</t>
        </is>
      </c>
      <c r="D13" s="7">
        <f>IF($B13="C5", ROUND(MAX(Parametres!$B$12, MIN(Parametres!$B$13, Parametres!$B$11*1500000)), 0), VLOOKUP($B13,Parametres!$A$4:$C$8,2,0))</f>
        <v/>
      </c>
      <c r="E13" s="7">
        <f>IF($B13="C5", ROUND($D13*Parametres!$B$14,0), VLOOKUP($B13,Parametres!$A$4:$C$8,3,0))</f>
        <v/>
      </c>
      <c r="F13" s="7">
        <f>$D13-$E13</f>
        <v/>
      </c>
      <c r="G13" s="8">
        <f>$E13/$D13</f>
        <v/>
      </c>
      <c r="H13" s="5" t="inlineStr">
        <is>
          <t>Prix boutiques N'Djamena 2025–2026</t>
        </is>
      </c>
    </row>
    <row r="14">
      <c r="A14" s="9" t="inlineStr">
        <is>
          <t>Écouteurs, montre connectée</t>
        </is>
      </c>
      <c r="B14" s="10" t="inlineStr">
        <is>
          <t>C3</t>
        </is>
      </c>
      <c r="C14" s="9" t="inlineStr">
        <is>
          <t>15 000 – 250 000</t>
        </is>
      </c>
      <c r="D14" s="11">
        <f>IF($B14="C5", ROUND(MAX(Parametres!$B$12, MIN(Parametres!$B$13, Parametres!$B$11*1500000)), 0), VLOOKUP($B14,Parametres!$A$4:$C$8,2,0))</f>
        <v/>
      </c>
      <c r="E14" s="11">
        <f>IF($B14="C5", ROUND($D14*Parametres!$B$14,0), VLOOKUP($B14,Parametres!$A$4:$C$8,3,0))</f>
        <v/>
      </c>
      <c r="F14" s="11">
        <f>$D14-$E14</f>
        <v/>
      </c>
      <c r="G14" s="12">
        <f>$E14/$D14</f>
        <v/>
      </c>
      <c r="H14" s="9" t="inlineStr"/>
    </row>
    <row r="15">
      <c r="A15" s="5" t="inlineStr">
        <is>
          <t>Ordinateur portable, tablette</t>
        </is>
      </c>
      <c r="B15" s="6" t="inlineStr">
        <is>
          <t>C3</t>
        </is>
      </c>
      <c r="C15" s="5" t="inlineStr">
        <is>
          <t>60 000 – 600 000</t>
        </is>
      </c>
      <c r="D15" s="7">
        <f>IF($B15="C5", ROUND(MAX(Parametres!$B$12, MIN(Parametres!$B$13, Parametres!$B$11*1500000)), 0), VLOOKUP($B15,Parametres!$A$4:$C$8,2,0))</f>
        <v/>
      </c>
      <c r="E15" s="7">
        <f>IF($B15="C5", ROUND($D15*Parametres!$B$14,0), VLOOKUP($B15,Parametres!$A$4:$C$8,3,0))</f>
        <v/>
      </c>
      <c r="F15" s="7">
        <f>$D15-$E15</f>
        <v/>
      </c>
      <c r="G15" s="8">
        <f>$E15/$D15</f>
        <v/>
      </c>
      <c r="H15" s="5" t="inlineStr">
        <is>
          <t>Dès 60 000–180 000 observés à N'Djamena</t>
        </is>
      </c>
    </row>
    <row r="16">
      <c r="A16" s="9" t="inlineStr">
        <is>
          <t>Appareil photo grand public</t>
        </is>
      </c>
      <c r="B16" s="10" t="inlineStr">
        <is>
          <t>C3</t>
        </is>
      </c>
      <c r="C16" s="9" t="inlineStr">
        <is>
          <t>80 000 – 500 000</t>
        </is>
      </c>
      <c r="D16" s="11">
        <f>IF($B16="C5", ROUND(MAX(Parametres!$B$12, MIN(Parametres!$B$13, Parametres!$B$11*1500000)), 0), VLOOKUP($B16,Parametres!$A$4:$C$8,2,0))</f>
        <v/>
      </c>
      <c r="E16" s="11">
        <f>IF($B16="C5", ROUND($D16*Parametres!$B$14,0), VLOOKUP($B16,Parametres!$A$4:$C$8,3,0))</f>
        <v/>
      </c>
      <c r="F16" s="11">
        <f>$D16-$E16</f>
        <v/>
      </c>
      <c r="G16" s="12">
        <f>$E16/$D16</f>
        <v/>
      </c>
      <c r="H16" s="9" t="inlineStr"/>
    </row>
    <row r="17">
      <c r="A17" s="5" t="inlineStr">
        <is>
          <t>Vélo, trottinette</t>
        </is>
      </c>
      <c r="B17" s="6" t="inlineStr">
        <is>
          <t>C3</t>
        </is>
      </c>
      <c r="C17" s="5" t="inlineStr">
        <is>
          <t>50 000 – 300 000</t>
        </is>
      </c>
      <c r="D17" s="7">
        <f>IF($B17="C5", ROUND(MAX(Parametres!$B$12, MIN(Parametres!$B$13, Parametres!$B$11*1500000)), 0), VLOOKUP($B17,Parametres!$A$4:$C$8,2,0))</f>
        <v/>
      </c>
      <c r="E17" s="7">
        <f>IF($B17="C5", ROUND($D17*Parametres!$B$14,0), VLOOKUP($B17,Parametres!$A$4:$C$8,3,0))</f>
        <v/>
      </c>
      <c r="F17" s="7">
        <f>$D17-$E17</f>
        <v/>
      </c>
      <c r="G17" s="8">
        <f>$E17/$D17</f>
        <v/>
      </c>
      <c r="H17" s="5" t="inlineStr">
        <is>
          <t>Proposition — non listé dans le plan v2</t>
        </is>
      </c>
    </row>
    <row r="18">
      <c r="A18" s="9" t="inlineStr">
        <is>
          <t>Smartphone haut de gamme (iPhone 16, POCO X7 Pro)</t>
        </is>
      </c>
      <c r="B18" s="10" t="inlineStr">
        <is>
          <t>C4</t>
        </is>
      </c>
      <c r="C18" s="9" t="inlineStr">
        <is>
          <t>200 000 – 1 000 000</t>
        </is>
      </c>
      <c r="D18" s="11">
        <f>IF($B18="C5", ROUND(MAX(Parametres!$B$12, MIN(Parametres!$B$13, Parametres!$B$11*1500000)), 0), VLOOKUP($B18,Parametres!$A$4:$C$8,2,0))</f>
        <v/>
      </c>
      <c r="E18" s="11">
        <f>IF($B18="C5", ROUND($D18*Parametres!$B$14,0), VLOOKUP($B18,Parametres!$A$4:$C$8,3,0))</f>
        <v/>
      </c>
      <c r="F18" s="11">
        <f>$D18-$E18</f>
        <v/>
      </c>
      <c r="G18" s="12">
        <f>$E18/$D18</f>
        <v/>
      </c>
      <c r="H18" s="9" t="inlineStr">
        <is>
          <t>iPhone 16 = 704 000 FCFA observé</t>
        </is>
      </c>
    </row>
    <row r="19">
      <c r="A19" s="5" t="inlineStr">
        <is>
          <t>Sac / article de marque</t>
        </is>
      </c>
      <c r="B19" s="6" t="inlineStr">
        <is>
          <t>C4</t>
        </is>
      </c>
      <c r="C19" s="5" t="inlineStr">
        <is>
          <t>150 000 – 1 000 000</t>
        </is>
      </c>
      <c r="D19" s="7">
        <f>IF($B19="C5", ROUND(MAX(Parametres!$B$12, MIN(Parametres!$B$13, Parametres!$B$11*1500000)), 0), VLOOKUP($B19,Parametres!$A$4:$C$8,2,0))</f>
        <v/>
      </c>
      <c r="E19" s="7">
        <f>IF($B19="C5", ROUND($D19*Parametres!$B$14,0), VLOOKUP($B19,Parametres!$A$4:$C$8,3,0))</f>
        <v/>
      </c>
      <c r="F19" s="7">
        <f>$D19-$E19</f>
        <v/>
      </c>
      <c r="G19" s="8">
        <f>$E19/$D19</f>
        <v/>
      </c>
      <c r="H19" s="5" t="inlineStr"/>
    </row>
    <row r="20">
      <c r="A20" s="9" t="inlineStr">
        <is>
          <t>Bijoux précieux (or, pierres)</t>
        </is>
      </c>
      <c r="B20" s="10" t="inlineStr">
        <is>
          <t>C4</t>
        </is>
      </c>
      <c r="C20" s="9" t="inlineStr">
        <is>
          <t>100 000 – 1 000 000</t>
        </is>
      </c>
      <c r="D20" s="11">
        <f>IF($B20="C5", ROUND(MAX(Parametres!$B$12, MIN(Parametres!$B$13, Parametres!$B$11*1500000)), 0), VLOOKUP($B20,Parametres!$A$4:$C$8,2,0))</f>
        <v/>
      </c>
      <c r="E20" s="11">
        <f>IF($B20="C5", ROUND($D20*Parametres!$B$14,0), VLOOKUP($B20,Parametres!$A$4:$C$8,3,0))</f>
        <v/>
      </c>
      <c r="F20" s="11">
        <f>$D20-$E20</f>
        <v/>
      </c>
      <c r="G20" s="12">
        <f>$E20/$D20</f>
        <v/>
      </c>
      <c r="H20" s="9" t="inlineStr"/>
    </row>
    <row r="21">
      <c r="A21" s="5" t="inlineStr">
        <is>
          <t>Instrument de musique, matériel professionnel</t>
        </is>
      </c>
      <c r="B21" s="6" t="inlineStr">
        <is>
          <t>C4</t>
        </is>
      </c>
      <c r="C21" s="5" t="inlineStr">
        <is>
          <t>200 000 – 1 000 000</t>
        </is>
      </c>
      <c r="D21" s="7">
        <f>IF($B21="C5", ROUND(MAX(Parametres!$B$12, MIN(Parametres!$B$13, Parametres!$B$11*1500000)), 0), VLOOKUP($B21,Parametres!$A$4:$C$8,2,0))</f>
        <v/>
      </c>
      <c r="E21" s="7">
        <f>IF($B21="C5", ROUND($D21*Parametres!$B$14,0), VLOOKUP($B21,Parametres!$A$4:$C$8,3,0))</f>
        <v/>
      </c>
      <c r="F21" s="7">
        <f>$D21-$E21</f>
        <v/>
      </c>
      <c r="G21" s="8">
        <f>$E21/$D21</f>
        <v/>
      </c>
      <c r="H21" s="5" t="inlineStr"/>
    </row>
    <row r="22">
      <c r="A22" s="9" t="inlineStr">
        <is>
          <t>Animal de compagnie</t>
        </is>
      </c>
      <c r="B22" s="10" t="inlineStr">
        <is>
          <t>C4</t>
        </is>
      </c>
      <c r="C22" s="9" t="inlineStr">
        <is>
          <t>valeur sentimentale (20 000 – 500 000)</t>
        </is>
      </c>
      <c r="D22" s="11">
        <f>IF($B22="C5", ROUND(MAX(Parametres!$B$12, MIN(Parametres!$B$13, Parametres!$B$11*1500000)), 0), VLOOKUP($B22,Parametres!$A$4:$C$8,2,0))</f>
        <v/>
      </c>
      <c r="E22" s="11">
        <f>IF($B22="C5", ROUND($D22*Parametres!$B$14,0), VLOOKUP($B22,Parametres!$A$4:$C$8,3,0))</f>
        <v/>
      </c>
      <c r="F22" s="11">
        <f>$D22-$E22</f>
        <v/>
      </c>
      <c r="G22" s="12">
        <f>$E22/$D22</f>
        <v/>
      </c>
      <c r="H22" s="9" t="inlineStr">
        <is>
          <t>Proposition</t>
        </is>
      </c>
    </row>
    <row r="23">
      <c r="A23" s="13" t="inlineStr">
        <is>
          <t>Objet de très grande valeur, véhicule, lot d'entreprise</t>
        </is>
      </c>
      <c r="B23" s="14" t="inlineStr">
        <is>
          <t>C5</t>
        </is>
      </c>
      <c r="C23" s="13" t="inlineStr">
        <is>
          <t>&gt; 1 000 000</t>
        </is>
      </c>
      <c r="D23" s="15">
        <f>IF($B23="C5", ROUND(MAX(Parametres!$B$12, MIN(Parametres!$B$13, Parametres!$B$11*1500000)), 0), VLOOKUP($B23,Parametres!$A$4:$C$8,2,0))</f>
        <v/>
      </c>
      <c r="E23" s="15">
        <f>IF($B23="C5", ROUND($D23*Parametres!$B$14,0), VLOOKUP($B23,Parametres!$A$4:$C$8,3,0))</f>
        <v/>
      </c>
      <c r="F23" s="15">
        <f>$D23-$E23</f>
        <v/>
      </c>
      <c r="G23" s="16">
        <f>$E23/$D23</f>
        <v/>
      </c>
      <c r="H23" s="13" t="inlineStr">
        <is>
          <t>1 % de la valeur déclarée (ex. 1 500 000 FCFA) ; plancher 5 000 / plafond 25 000. Les flagships ~1 M FCFA basculent en C5</t>
        </is>
      </c>
    </row>
    <row r="25">
      <c r="A25" s="3" t="inlineStr">
        <is>
          <t>Options (onglet Parametres) : traitement urgent +50 % ; conciergerie documents 1 000 FCFA ; livraison urbaine défaut 2 500 FCFA (proxy — devis partenaires Nimvi Express, Kimre, Speed Delivery). Commission affichée HT — TVA paramétrable.</t>
        </is>
      </c>
    </row>
  </sheetData>
  <mergeCells count="1">
    <mergeCell ref="A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6" customWidth="1" min="3" max="3"/>
    <col width="14" customWidth="1" min="4" max="4"/>
    <col width="16" customWidth="1" min="5" max="5"/>
    <col width="40" customWidth="1" min="6" max="6"/>
  </cols>
  <sheetData>
    <row r="1">
      <c r="A1" s="1" t="inlineStr">
        <is>
          <t>Calibrage sur les prix observés — N'Djamena (recherche du 21/09/2026)</t>
        </is>
      </c>
    </row>
    <row r="2">
      <c r="A2" s="3" t="inlineStr">
        <is>
          <t>« Vérifié » = donnée tchadienne trouvée en ligne ce tour. « Proxy » = comparable utilisé faute de tarif publié localement. Toutes les URLs sont cliquables (colonne Source).</t>
        </is>
      </c>
    </row>
    <row r="4">
      <c r="A4" s="4" t="inlineStr">
        <is>
          <t>Poste</t>
        </is>
      </c>
      <c r="B4" s="4" t="inlineStr">
        <is>
          <t>Donnée observée (FCFA)</t>
        </is>
      </c>
      <c r="C4" s="4" t="inlineStr">
        <is>
          <t>Source (lien)</t>
        </is>
      </c>
      <c r="D4" s="4" t="inlineStr">
        <is>
          <t>Date</t>
        </is>
      </c>
      <c r="E4" s="4" t="inlineStr">
        <is>
          <t>Type</t>
        </is>
      </c>
      <c r="F4" s="4" t="inlineStr">
        <is>
          <t>Implication pour la grille</t>
        </is>
      </c>
    </row>
    <row r="5">
      <c r="A5" s="5" t="inlineStr">
        <is>
          <t>Carte d'identité nationale (coût/renouvellement)</t>
        </is>
      </c>
      <c r="B5" s="5" t="inlineStr">
        <is>
          <t>5 000 – 10 000 (tarif officiel ; projet ANATS à 5 000 ; fin de la gratuité le 02/08/2023)</t>
        </is>
      </c>
      <c r="C5" s="17" t="inlineStr">
        <is>
          <t>VOA Afrique — https://www.voaafrique.com/a/le-prix-des-cartes-d-identite-fait-grogner-les-tchadiens/3935774.html ; Alwihda Info — https://www.alwihdainfo.com/Tchad-le-cout-des-titres-securises-va-baisser_a81674.html ; Journal du Tchad — https://journaldutchad.com/tchad-fin-de-la-gratuite-de-la-carte-didentite-nationale/</t>
        </is>
      </c>
      <c r="D5" s="6" t="inlineStr">
        <is>
          <t>2017 ; s.d. ; 08/2023</t>
        </is>
      </c>
      <c r="E5" s="18" t="inlineStr">
        <is>
          <t>Tchad — vérifié</t>
        </is>
      </c>
      <c r="F5" s="5" t="inlineStr">
        <is>
          <t>Frais C1 300 ≈ 3–6 % du coût de remplacement → proportionné, non dissuasif</t>
        </is>
      </c>
    </row>
    <row r="6">
      <c r="A6" s="9" t="inlineStr">
        <is>
          <t>Passeport biométrique</t>
        </is>
      </c>
      <c r="B6" s="9" t="inlineStr">
        <is>
          <t>60 000</t>
        </is>
      </c>
      <c r="C6" s="19" t="inlineStr">
        <is>
          <t>Wikipédia — Passeport tchadien — https://fr.wikipedia.org/wiki/Passeport_tchadien ; Alwihda Info (centre de Bongor) — https://www.alwihdainfo.com/Tchad-ouverture-d-un-centre-de-delivrance-de-titres-securises-a-Bongor_a120987.html</t>
        </is>
      </c>
      <c r="D6" s="10" t="inlineStr">
        <is>
          <t>s.d.</t>
        </is>
      </c>
      <c r="E6" s="10" t="inlineStr">
        <is>
          <t>Tchad — vérifié</t>
        </is>
      </c>
      <c r="F6" s="9" t="inlineStr">
        <is>
          <t>Perte très coûteuse → C1 justifié + option conciergerie pertinente</t>
        </is>
      </c>
    </row>
    <row r="7">
      <c r="A7" s="5" t="inlineStr">
        <is>
          <t>Permis de conduire</t>
        </is>
      </c>
      <c r="B7" s="5" t="inlineStr">
        <is>
          <t>25 000 (retrait) ; parcours auto-école ≈ 59 500</t>
        </is>
      </c>
      <c r="C7" s="17" t="inlineStr">
        <is>
          <t>Alwihda Info (Bongor) — https://www.alwihdainfo.com/Tchad-ouverture-d-un-centre-de-delivrance-de-titres-securises-a-Bongor_a120987.html ; Alwihda / Facebook (promo Yoka) — https://www.facebook.com/Alwihda/posts/10159193695616782/</t>
        </is>
      </c>
      <c r="D7" s="6" t="inlineStr">
        <is>
          <t>s.d.</t>
        </is>
      </c>
      <c r="E7" s="18" t="inlineStr">
        <is>
          <t>Tchad — vérifié</t>
        </is>
      </c>
      <c r="F7" s="5" t="inlineStr">
        <is>
          <t>Confirme la classe C1 documents</t>
        </is>
      </c>
    </row>
    <row r="8">
      <c r="A8" s="9" t="inlineStr">
        <is>
          <t>SMIG mensuel</t>
        </is>
      </c>
      <c r="B8" s="9" t="inlineStr">
        <is>
          <t>60 000 / mois (≈ 2 300 / jour ouvré)</t>
        </is>
      </c>
      <c r="C8" s="19" t="inlineStr">
        <is>
          <t>Africa HR — https://africa-hr.com/fr/blog/salary-standards-across-54-african-countries/ ; Africa Paie RH — https://africapaierh.com/juridique/le-smig-en-afrique-central/</t>
        </is>
      </c>
      <c r="D8" s="10" t="inlineStr">
        <is>
          <t>en vigueur</t>
        </is>
      </c>
      <c r="E8" s="10" t="inlineStr">
        <is>
          <t>Tchad — vérifié</t>
        </is>
      </c>
      <c r="F8" s="9" t="inlineStr">
        <is>
          <t>C1 300 ≈ 0,5 % d'un SMIG ; frais max C4 3 000 ≈ 5 % d'un SMIG → accessible</t>
        </is>
      </c>
    </row>
    <row r="9">
      <c r="A9" s="5" t="inlineStr">
        <is>
          <t>Repas / petites dépenses courantes</t>
        </is>
      </c>
      <c r="B9" s="5" t="inlineStr">
        <is>
          <t>Repas restaurant bon marché 5 000 ; petit-déj 500 – 2 000 ; coro de riz 1 300</t>
        </is>
      </c>
      <c r="C9" s="17" t="inlineStr">
        <is>
          <t>Numbeo N'Djamena — https://fr.numbeo.com/co%C3%BBt-de-la-vie/ville/N%27Djamena-Tchad ; Le Mag Voyage — https://www.lemagvoyage.fr/tchad/budget-voyage-tchad/ ; Tchad Infos — https://tchadinfos.com/2023/08/17/societe-hausse-considerable-des-prix-des-denrees-de-premiere-necessite-a-ndjamena/</t>
        </is>
      </c>
      <c r="D9" s="6" t="inlineStr">
        <is>
          <t>09/2026 ; s.d. ; 08/2023</t>
        </is>
      </c>
      <c r="E9" s="18" t="inlineStr">
        <is>
          <t>Tchad — vérifié</t>
        </is>
      </c>
      <c r="F9" s="5" t="inlineStr">
        <is>
          <t>Étalon « petite dépense » : C2 700 ≈ un petit-déj ; C3 1 200 reste modéré</t>
        </is>
      </c>
    </row>
    <row r="10">
      <c r="A10" s="9" t="inlineStr">
        <is>
          <t>Téléphones entrée / milieu de gamme</t>
        </is>
      </c>
      <c r="B10" s="9" t="inlineStr">
        <is>
          <t>Tecno Pop 60 000 – 75 000 ; Galaxy A16 80 000 ; A17 100 000 ; A26 130 000 ; A36 160 000</t>
        </is>
      </c>
      <c r="C10" s="19" t="inlineStr">
        <is>
          <t>Khouma et Frères — https://www.khoumaetfreres.com/ ; Smart Boutique Chad — https://www.facebook.com/SMARTB.SBC/</t>
        </is>
      </c>
      <c r="D10" s="10" t="inlineStr">
        <is>
          <t>2025 – 2026</t>
        </is>
      </c>
      <c r="E10" s="10" t="inlineStr">
        <is>
          <t>Tchad — vérifié</t>
        </is>
      </c>
      <c r="F10" s="9" t="inlineStr">
        <is>
          <t>Frais C3 1 200 ≈ 0,7 – 2 % de la valeur de l'objet</t>
        </is>
      </c>
    </row>
    <row r="11">
      <c r="A11" s="5" t="inlineStr">
        <is>
          <t>Smartphones haut de gamme</t>
        </is>
      </c>
      <c r="B11" s="5" t="inlineStr">
        <is>
          <t>S21 Ultra (occasion) 180 000 ; POCO X7 Pro 215 000 ; iPhone 16 704 000</t>
        </is>
      </c>
      <c r="C11" s="17" t="inlineStr">
        <is>
          <t>Boutique Souroubé — https://www.tiktok.com/@boutiquesouroube/video/7426342483329682693 ; HADIMI Tchad — https://www.hadimi.td/collections/telephone-tablettes</t>
        </is>
      </c>
      <c r="D11" s="6" t="inlineStr">
        <is>
          <t>2025 – 2026</t>
        </is>
      </c>
      <c r="E11" s="18" t="inlineStr">
        <is>
          <t>Tchad — vérifié</t>
        </is>
      </c>
      <c r="F11" s="5" t="inlineStr">
        <is>
          <t>Frontière C3→C4 ≈ 200 000 de valeur d'objet</t>
        </is>
      </c>
    </row>
    <row r="12">
      <c r="A12" s="9" t="inlineStr">
        <is>
          <t>Flagships (haut de gamme extrême)</t>
        </is>
      </c>
      <c r="B12" s="9" t="inlineStr">
        <is>
          <t>Samsung S25 Ultra ≈ 1 000 000 – 1 200 000 (flambée 03/2026)</t>
        </is>
      </c>
      <c r="C12" s="20" t="inlineStr">
        <is>
          <t>Tchad Infos — https://tchadinfos.com/2026/03/17/ndjamena-les-telephones-deviennent-rares-et-hors-de-prix-a-cause-de-la-guerre-au-moyen-orient/</t>
        </is>
      </c>
      <c r="D12" s="10" t="inlineStr">
        <is>
          <t>17/03/2026</t>
        </is>
      </c>
      <c r="E12" s="10" t="inlineStr">
        <is>
          <t>Tchad — vérifié</t>
        </is>
      </c>
      <c r="F12" s="9" t="inlineStr">
        <is>
          <t>Seuil C5 (&gt; 1 000 000) cohérent avec le marché réel ; fee 1 % s'applique</t>
        </is>
      </c>
    </row>
    <row r="13">
      <c r="A13" s="5" t="inlineStr">
        <is>
          <t>Ordinateurs portables</t>
        </is>
      </c>
      <c r="B13" s="5" t="inlineStr">
        <is>
          <t>Dès 60 000 (promo) ; Lenovo i5 180 000 ; HP 144 000 – 390 000 ; HP Victus 660 000 ; Dell 680 000</t>
        </is>
      </c>
      <c r="C13" s="17" t="inlineStr">
        <is>
          <t>Lalekou Informatique — https://www.facebook.com/lalekouinformatiqueshop/ ; Tchad City Computers — https://www.facebook.com/p/Tchad-city-computers-nouvelle-g%C3%A9n%C3%A9ration-100088890590050/ ; Chine Express Afrique — https://chine-express-afrique.com/ordinateurs-portables/ ; AWALKM — http://www.awalkm.com/product-categories/informatique</t>
        </is>
      </c>
      <c r="D13" s="6" t="inlineStr">
        <is>
          <t>2025 – 2026</t>
        </is>
      </c>
      <c r="E13" s="18" t="inlineStr">
        <is>
          <t>Tchad — vérifié</t>
        </is>
      </c>
      <c r="F13" s="5" t="inlineStr">
        <is>
          <t>Couvre la bascule C3 → C4 (600 000)</t>
        </is>
      </c>
    </row>
    <row r="14">
      <c r="A14" s="9" t="inlineStr">
        <is>
          <t>Airtel Money Tchad (retrait / envoi)</t>
        </is>
      </c>
      <c r="B14" s="9" t="inlineStr">
        <is>
          <t>≤ 3 % du montant (plafond annoncé par l'opérateur)</t>
        </is>
      </c>
      <c r="C14" s="19" t="inlineStr">
        <is>
          <t>Airtel Tchad (officiel) — https://www.facebook.com/AirtelTchad/posts/1030231869129123 ; Airtel Tchad — frais — https://www.airtel.td/airtel_money</t>
        </is>
      </c>
      <c r="D14" s="10" t="inlineStr">
        <is>
          <t>2025 – 2026</t>
        </is>
      </c>
      <c r="E14" s="10" t="inlineStr">
        <is>
          <t>Tchad — vérifié</t>
        </is>
      </c>
      <c r="F14" s="9" t="inlineStr">
        <is>
          <t>Coût d'encaissement 9 – 90 FCFA par paiement Liguita → négligeable vs commission</t>
        </is>
      </c>
    </row>
    <row r="15">
      <c r="A15" s="5" t="inlineStr">
        <is>
          <t>Moov Money Tchad</t>
        </is>
      </c>
      <c r="B15" s="5" t="inlineStr">
        <is>
          <t>Transfert 0,70 % (promo) ; retrait 3 % ; Money Xpress 5 %</t>
        </is>
      </c>
      <c r="C15" s="21" t="inlineStr">
        <is>
          <t>Moov Africa Tchad — https://www.linkedin.com/posts/tigotchad_moovmoney-moovafricatchad-activity-7361412429085384705-RhAu</t>
        </is>
      </c>
      <c r="D15" s="6" t="inlineStr">
        <is>
          <t>2025 – 2026</t>
        </is>
      </c>
      <c r="E15" s="18" t="inlineStr">
        <is>
          <t>Tchad — vérifié</t>
        </is>
      </c>
      <c r="F15" s="5" t="inlineStr">
        <is>
          <t>Négocier un tarif marchand &lt; retrait ; prévoir plusieurs providers (plan §31)</t>
        </is>
      </c>
    </row>
    <row r="16">
      <c r="A16" s="9" t="inlineStr">
        <is>
          <t>GIMAC (interopérabilité mobile money)</t>
        </is>
      </c>
      <c r="B16" s="9" t="inlineStr">
        <is>
          <t>Frais par tranches (non publiés en détail)</t>
        </is>
      </c>
      <c r="C16" s="20" t="inlineStr">
        <is>
          <t>Tarifo.pro — https://tarifo.pro/</t>
        </is>
      </c>
      <c r="D16" s="10" t="inlineStr">
        <is>
          <t>09/2026</t>
        </is>
      </c>
      <c r="E16" s="10" t="inlineStr">
        <is>
          <t>Tchad — vérifié (partiel)</t>
        </is>
      </c>
      <c r="F16" s="9" t="inlineStr">
        <is>
          <t>Surveiller les tranches : un paiement 300 – 3 000 reste dans les tranches basses</t>
        </is>
      </c>
    </row>
    <row r="17">
      <c r="A17" s="5" t="inlineStr">
        <is>
          <t>Livraison urbaine à N'Djamena</t>
        </is>
      </c>
      <c r="B17" s="5" t="inlineStr">
        <is>
          <t>Aucun tarif publié (sur devis) ; défaut retenu 2 500 (proxy) ; réf. logistique : Colis+ 7 000 FCFA/kg (France→Tchad)</t>
        </is>
      </c>
      <c r="C17" s="17" t="inlineStr">
        <is>
          <t>Nimvi Express — https://nimviexpress.com/ ; Kimre Transport — https://kimre-transport.netlify.app/ ; Colis+ Tchad — https://colisplustchad.fr/</t>
        </is>
      </c>
      <c r="D17" s="6" t="inlineStr">
        <is>
          <t>09/2026</t>
        </is>
      </c>
      <c r="E17" s="22" t="inlineStr">
        <is>
          <t>PROXY — à confirmer par devis</t>
        </is>
      </c>
      <c r="F17" s="5" t="inlineStr">
        <is>
          <t>Paramètre livraison fixé à 2 500 ; obtenir devis Nimvi (+235 61 57 67 41), Kimre (+235 99 31 20 01), Speed Delivery (+235 66 10 29 48)</t>
        </is>
      </c>
    </row>
    <row r="18">
      <c r="A18" s="9" t="inlineStr">
        <is>
          <t>Coût réel des démarches administratives</t>
        </is>
      </c>
      <c r="B18" s="9" t="inlineStr">
        <is>
          <t>Déplacements, files d'attente, allers-retours → coût caché élevé (contexte conciergerie)</t>
        </is>
      </c>
      <c r="C18" s="20" t="inlineStr">
        <is>
          <t>Alwihda Info — https://www.alwihdainfo.com/tchad-le-veritable-cout-cache-des-demarches-administratives/</t>
        </is>
      </c>
      <c r="D18" s="10" t="inlineStr">
        <is>
          <t>lu 09/2026</t>
        </is>
      </c>
      <c r="E18" s="10" t="inlineStr">
        <is>
          <t>Tchad — vérifié (contexte)</t>
        </is>
      </c>
      <c r="F18" s="9" t="inlineStr">
        <is>
          <t>Confirme l'option conciergerie à 1 000 ≈ 10 % d'un duplicata CNI</t>
        </is>
      </c>
    </row>
    <row r="19">
      <c r="A19" s="5" t="inlineStr">
        <is>
          <t>Duplication de clés</t>
        </is>
      </c>
      <c r="B19" s="5" t="inlineStr">
        <is>
          <t>≈ 2 000 – 5 000</t>
        </is>
      </c>
      <c r="C19" s="17" t="inlineStr">
        <is>
          <t>Proxy régional (aucun tarif local publié)</t>
        </is>
      </c>
      <c r="D19" s="6" t="inlineStr">
        <is>
          <t>—</t>
        </is>
      </c>
      <c r="E19" s="22" t="inlineStr">
        <is>
          <t>PROXY régional</t>
        </is>
      </c>
      <c r="F19" s="5" t="inlineStr">
        <is>
          <t>C2 700 ≈ 15 – 35 % du coût de duplication → cohérent</t>
        </is>
      </c>
    </row>
  </sheetData>
  <hyperlinks>
    <hyperlink xmlns:r="http://schemas.openxmlformats.org/officeDocument/2006/relationships" ref="C12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8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4" customWidth="1" min="3" max="3"/>
  </cols>
  <sheetData>
    <row r="1">
      <c r="A1" s="1" t="inlineStr">
        <is>
          <t>Hypothèses &amp; paramètres — cellules modifiables (les formules se recalculent)</t>
        </is>
      </c>
    </row>
    <row r="3">
      <c r="A3" s="4" t="inlineStr">
        <is>
          <t>Classe</t>
        </is>
      </c>
      <c r="B3" s="4" t="inlineStr">
        <is>
          <t>Frais de base (FCFA)</t>
        </is>
      </c>
      <c r="C3" s="4" t="inlineStr">
        <is>
          <t>Récompense trouveur (FCFA)</t>
        </is>
      </c>
    </row>
    <row r="4">
      <c r="A4" s="6" t="inlineStr">
        <is>
          <t>C1</t>
        </is>
      </c>
      <c r="B4" s="7" t="n">
        <v>300</v>
      </c>
      <c r="C4" s="7" t="n">
        <v>100</v>
      </c>
    </row>
    <row r="5">
      <c r="A5" s="6" t="inlineStr">
        <is>
          <t>C2</t>
        </is>
      </c>
      <c r="B5" s="7" t="n">
        <v>700</v>
      </c>
      <c r="C5" s="7" t="n">
        <v>250</v>
      </c>
    </row>
    <row r="6">
      <c r="A6" s="6" t="inlineStr">
        <is>
          <t>C3</t>
        </is>
      </c>
      <c r="B6" s="7" t="n">
        <v>1200</v>
      </c>
      <c r="C6" s="7" t="n">
        <v>400</v>
      </c>
    </row>
    <row r="7">
      <c r="A7" s="6" t="inlineStr">
        <is>
          <t>C4</t>
        </is>
      </c>
      <c r="B7" s="7" t="n">
        <v>3000</v>
      </c>
      <c r="C7" s="7" t="n">
        <v>900</v>
      </c>
    </row>
    <row r="8">
      <c r="A8" s="6" t="inlineStr">
        <is>
          <t>C5</t>
        </is>
      </c>
      <c r="B8" s="23" t="n">
        <v>0.01</v>
      </c>
      <c r="C8" s="24" t="n">
        <v>0.3</v>
      </c>
    </row>
    <row r="10">
      <c r="A10" s="25" t="inlineStr">
        <is>
          <t>Paramètres C5 (cas spéciaux)</t>
        </is>
      </c>
    </row>
    <row r="11">
      <c r="A11" s="26" t="inlineStr">
        <is>
          <t>Taux sur la valeur déclarée</t>
        </is>
      </c>
      <c r="B11" s="23" t="n">
        <v>0.01</v>
      </c>
    </row>
    <row r="12">
      <c r="A12" s="26" t="inlineStr">
        <is>
          <t>Plancher (FCFA)</t>
        </is>
      </c>
      <c r="B12" s="7" t="n">
        <v>5000</v>
      </c>
    </row>
    <row r="13">
      <c r="A13" s="26" t="inlineStr">
        <is>
          <t>Plafond (FCFA)</t>
        </is>
      </c>
      <c r="B13" s="7" t="n">
        <v>25000</v>
      </c>
    </row>
    <row r="14">
      <c r="A14" s="26" t="inlineStr">
        <is>
          <t>Part trouveur (C5)</t>
        </is>
      </c>
      <c r="B14" s="24" t="n">
        <v>0.3</v>
      </c>
    </row>
    <row r="16">
      <c r="A16" s="25" t="inlineStr">
        <is>
          <t>Options</t>
        </is>
      </c>
    </row>
    <row r="17">
      <c r="A17" s="26" t="inlineStr">
        <is>
          <t>Traitement urgent — supplément (% des frais de base)</t>
        </is>
      </c>
      <c r="B17" s="24" t="n">
        <v>0.5</v>
      </c>
    </row>
    <row r="18">
      <c r="A18" s="26" t="inlineStr">
        <is>
          <t>Conciergerie documents (FCFA)</t>
        </is>
      </c>
      <c r="B18" s="7" t="n">
        <v>1000</v>
      </c>
    </row>
    <row r="19">
      <c r="A19" s="26" t="inlineStr">
        <is>
          <t>Livraison urbaine N'Djamena — défaut (proxy, sur devis partenaires)</t>
        </is>
      </c>
      <c r="B19" s="7" t="n">
        <v>2500</v>
      </c>
    </row>
    <row r="21">
      <c r="A21" s="25" t="inlineStr">
        <is>
          <t>TVA</t>
        </is>
      </c>
    </row>
    <row r="22">
      <c r="A22" t="inlineStr">
        <is>
          <t>Taux de TVA (Tchad — à valider avec un comptable)</t>
        </is>
      </c>
      <c r="B22" s="27" t="n">
        <v>0.18</v>
      </c>
    </row>
    <row r="23">
      <c r="A23" s="3" t="inlineStr">
        <is>
          <t>La commission Liguita est affichée hors taxes ; appliquer la TVA le cas échéant.</t>
        </is>
      </c>
    </row>
    <row r="25">
      <c r="A25" s="3" t="inlineStr">
        <is>
          <t>Calibrage 09/2026 : les frais C1–C5 résistent au test du marché (détail onglet « Calibrage marché »). Répartition cible : trouveur ≈ 1/3 des frais (C1–C4) ; 30/70 (C5).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20" customWidth="1" min="3" max="3"/>
    <col width="16" customWidth="1" min="4" max="4"/>
    <col width="14" customWidth="1" min="5" max="5"/>
    <col width="16" customWidth="1" min="6" max="6"/>
    <col width="16" customWidth="1" min="7" max="7"/>
    <col width="20" customWidth="1" min="8" max="8"/>
    <col width="20" customWidth="1" min="9" max="9"/>
  </cols>
  <sheetData>
    <row r="1">
      <c r="A1" s="1" t="inlineStr">
        <is>
          <t>Exemples chiffrés — scénarios de mise en relation</t>
        </is>
      </c>
    </row>
    <row r="2">
      <c r="A2" s="3" t="inlineStr">
        <is>
          <t>Toutes les cellules se recalculent depuis l'onglet Parametres. La « valeur déclarée » de la ligne C5 est modifiable.</t>
        </is>
      </c>
    </row>
    <row r="4">
      <c r="A4" s="4" t="inlineStr">
        <is>
          <t>Scénario</t>
        </is>
      </c>
      <c r="B4" s="4" t="inlineStr">
        <is>
          <t>Classe</t>
        </is>
      </c>
      <c r="C4" s="4" t="inlineStr">
        <is>
          <t>Valeur déclarée (si C5)</t>
        </is>
      </c>
      <c r="D4" s="4" t="inlineStr">
        <is>
          <t>Frais de base</t>
        </is>
      </c>
      <c r="E4" s="4" t="inlineStr">
        <is>
          <t>Option</t>
        </is>
      </c>
      <c r="F4" s="4" t="inlineStr">
        <is>
          <t>Supplément option</t>
        </is>
      </c>
      <c r="G4" s="4" t="inlineStr">
        <is>
          <t>Total à payer</t>
        </is>
      </c>
      <c r="H4" s="4" t="inlineStr">
        <is>
          <t>Récompense trouveur</t>
        </is>
      </c>
      <c r="I4" s="4" t="inlineStr">
        <is>
          <t>Commission Liguita</t>
        </is>
      </c>
    </row>
    <row r="5">
      <c r="A5" s="5" t="inlineStr">
        <is>
          <t>CNI retrouvée — mise en relation standard</t>
        </is>
      </c>
      <c r="B5" s="6" t="inlineStr">
        <is>
          <t>C1</t>
        </is>
      </c>
      <c r="C5" s="7" t="n"/>
      <c r="D5" s="7">
        <f>IF($B5="C5", ROUND(MAX(Parametres!$B$12, MIN(Parametres!$B$13, Parametres!$B$11*N($C5))),0), VLOOKUP($B5,Parametres!$A$4:$C$8,2,0))</f>
        <v/>
      </c>
      <c r="E5" s="6" t="inlineStr">
        <is>
          <t>—</t>
        </is>
      </c>
      <c r="F5" s="7">
        <f>IF($E5="Urgent", ROUND($D5*Parametres!$B$17,0), IF($E5="Conciergerie", Parametres!$B$18, IF($E5="Livraison", Parametres!$B$19, 0)))</f>
        <v/>
      </c>
      <c r="G5" s="7">
        <f>$D5+$F5</f>
        <v/>
      </c>
      <c r="H5" s="7">
        <f>IF($B5="C5", ROUND($D5*Parametres!$B$14,0), VLOOKUP($B5,Parametres!$A$4:$C$8,3,0))</f>
        <v/>
      </c>
      <c r="I5" s="7">
        <f>$G5-$H5</f>
        <v/>
      </c>
    </row>
    <row r="6">
      <c r="A6" s="9" t="inlineStr">
        <is>
          <t>CNI — traitement urgent</t>
        </is>
      </c>
      <c r="B6" s="10" t="inlineStr">
        <is>
          <t>C1</t>
        </is>
      </c>
      <c r="C6" s="11" t="n"/>
      <c r="D6" s="11">
        <f>IF($B6="C5", ROUND(MAX(Parametres!$B$12, MIN(Parametres!$B$13, Parametres!$B$11*N($C6))),0), VLOOKUP($B6,Parametres!$A$4:$C$8,2,0))</f>
        <v/>
      </c>
      <c r="E6" s="10" t="inlineStr">
        <is>
          <t>Urgent</t>
        </is>
      </c>
      <c r="F6" s="11">
        <f>IF($E6="Urgent", ROUND($D6*Parametres!$B$17,0), IF($E6="Conciergerie", Parametres!$B$18, IF($E6="Livraison", Parametres!$B$19, 0)))</f>
        <v/>
      </c>
      <c r="G6" s="11">
        <f>$D6+$F6</f>
        <v/>
      </c>
      <c r="H6" s="11">
        <f>IF($B6="C5", ROUND($D6*Parametres!$B$14,0), VLOOKUP($B6,Parametres!$A$4:$C$8,3,0))</f>
        <v/>
      </c>
      <c r="I6" s="11">
        <f>$G6-$H6</f>
        <v/>
      </c>
    </row>
    <row r="7">
      <c r="A7" s="5" t="inlineStr">
        <is>
          <t>Téléphone — mise en relation standard</t>
        </is>
      </c>
      <c r="B7" s="6" t="inlineStr">
        <is>
          <t>C3</t>
        </is>
      </c>
      <c r="C7" s="7" t="n"/>
      <c r="D7" s="7">
        <f>IF($B7="C5", ROUND(MAX(Parametres!$B$12, MIN(Parametres!$B$13, Parametres!$B$11*N($C7))),0), VLOOKUP($B7,Parametres!$A$4:$C$8,2,0))</f>
        <v/>
      </c>
      <c r="E7" s="6" t="inlineStr">
        <is>
          <t>—</t>
        </is>
      </c>
      <c r="F7" s="7">
        <f>IF($E7="Urgent", ROUND($D7*Parametres!$B$17,0), IF($E7="Conciergerie", Parametres!$B$18, IF($E7="Livraison", Parametres!$B$19, 0)))</f>
        <v/>
      </c>
      <c r="G7" s="7">
        <f>$D7+$F7</f>
        <v/>
      </c>
      <c r="H7" s="7">
        <f>IF($B7="C5", ROUND($D7*Parametres!$B$14,0), VLOOKUP($B7,Parametres!$A$4:$C$8,3,0))</f>
        <v/>
      </c>
      <c r="I7" s="7">
        <f>$G7-$H7</f>
        <v/>
      </c>
    </row>
    <row r="8">
      <c r="A8" s="9" t="inlineStr">
        <is>
          <t>Téléphone — traitement urgent</t>
        </is>
      </c>
      <c r="B8" s="10" t="inlineStr">
        <is>
          <t>C3</t>
        </is>
      </c>
      <c r="C8" s="11" t="n"/>
      <c r="D8" s="11">
        <f>IF($B8="C5", ROUND(MAX(Parametres!$B$12, MIN(Parametres!$B$13, Parametres!$B$11*N($C8))),0), VLOOKUP($B8,Parametres!$A$4:$C$8,2,0))</f>
        <v/>
      </c>
      <c r="E8" s="10" t="inlineStr">
        <is>
          <t>Urgent</t>
        </is>
      </c>
      <c r="F8" s="11">
        <f>IF($E8="Urgent", ROUND($D8*Parametres!$B$17,0), IF($E8="Conciergerie", Parametres!$B$18, IF($E8="Livraison", Parametres!$B$19, 0)))</f>
        <v/>
      </c>
      <c r="G8" s="11">
        <f>$D8+$F8</f>
        <v/>
      </c>
      <c r="H8" s="11">
        <f>IF($B8="C5", ROUND($D8*Parametres!$B$14,0), VLOOKUP($B8,Parametres!$A$4:$C$8,3,0))</f>
        <v/>
      </c>
      <c r="I8" s="11">
        <f>$G8-$H8</f>
        <v/>
      </c>
    </row>
    <row r="9">
      <c r="A9" s="5" t="inlineStr">
        <is>
          <t>Ordinateur + conciergerie documents</t>
        </is>
      </c>
      <c r="B9" s="6" t="inlineStr">
        <is>
          <t>C3</t>
        </is>
      </c>
      <c r="C9" s="7" t="n"/>
      <c r="D9" s="7">
        <f>IF($B9="C5", ROUND(MAX(Parametres!$B$12, MIN(Parametres!$B$13, Parametres!$B$11*N($C9))),0), VLOOKUP($B9,Parametres!$A$4:$C$8,2,0))</f>
        <v/>
      </c>
      <c r="E9" s="6" t="inlineStr">
        <is>
          <t>Conciergerie</t>
        </is>
      </c>
      <c r="F9" s="7">
        <f>IF($E9="Urgent", ROUND($D9*Parametres!$B$17,0), IF($E9="Conciergerie", Parametres!$B$18, IF($E9="Livraison", Parametres!$B$19, 0)))</f>
        <v/>
      </c>
      <c r="G9" s="7">
        <f>$D9+$F9</f>
        <v/>
      </c>
      <c r="H9" s="7">
        <f>IF($B9="C5", ROUND($D9*Parametres!$B$14,0), VLOOKUP($B9,Parametres!$A$4:$C$8,3,0))</f>
        <v/>
      </c>
      <c r="I9" s="7">
        <f>$G9-$H9</f>
        <v/>
      </c>
    </row>
    <row r="10">
      <c r="A10" s="9" t="inlineStr">
        <is>
          <t>Téléphone + livraison urbaine (proxy 2 500)</t>
        </is>
      </c>
      <c r="B10" s="10" t="inlineStr">
        <is>
          <t>C3</t>
        </is>
      </c>
      <c r="C10" s="11" t="n"/>
      <c r="D10" s="11">
        <f>IF($B10="C5", ROUND(MAX(Parametres!$B$12, MIN(Parametres!$B$13, Parametres!$B$11*N($C10))),0), VLOOKUP($B10,Parametres!$A$4:$C$8,2,0))</f>
        <v/>
      </c>
      <c r="E10" s="10" t="inlineStr">
        <is>
          <t>Livraison</t>
        </is>
      </c>
      <c r="F10" s="11">
        <f>IF($E10="Urgent", ROUND($D10*Parametres!$B$17,0), IF($E10="Conciergerie", Parametres!$B$18, IF($E10="Livraison", Parametres!$B$19, 0)))</f>
        <v/>
      </c>
      <c r="G10" s="11">
        <f>$D10+$F10</f>
        <v/>
      </c>
      <c r="H10" s="11">
        <f>IF($B10="C5", ROUND($D10*Parametres!$B$14,0), VLOOKUP($B10,Parametres!$A$4:$C$8,3,0))</f>
        <v/>
      </c>
      <c r="I10" s="11">
        <f>$G10-$H10</f>
        <v/>
      </c>
    </row>
    <row r="11">
      <c r="A11" s="5" t="inlineStr">
        <is>
          <t>Sac de marque</t>
        </is>
      </c>
      <c r="B11" s="6" t="inlineStr">
        <is>
          <t>C4</t>
        </is>
      </c>
      <c r="C11" s="7" t="n"/>
      <c r="D11" s="7">
        <f>IF($B11="C5", ROUND(MAX(Parametres!$B$12, MIN(Parametres!$B$13, Parametres!$B$11*N($C11))),0), VLOOKUP($B11,Parametres!$A$4:$C$8,2,0))</f>
        <v/>
      </c>
      <c r="E11" s="6" t="inlineStr">
        <is>
          <t>—</t>
        </is>
      </c>
      <c r="F11" s="7">
        <f>IF($E11="Urgent", ROUND($D11*Parametres!$B$17,0), IF($E11="Conciergerie", Parametres!$B$18, IF($E11="Livraison", Parametres!$B$19, 0)))</f>
        <v/>
      </c>
      <c r="G11" s="7">
        <f>$D11+$F11</f>
        <v/>
      </c>
      <c r="H11" s="7">
        <f>IF($B11="C5", ROUND($D11*Parametres!$B$14,0), VLOOKUP($B11,Parametres!$A$4:$C$8,3,0))</f>
        <v/>
      </c>
      <c r="I11" s="7">
        <f>$G11-$H11</f>
        <v/>
      </c>
    </row>
    <row r="12">
      <c r="A12" s="13" t="inlineStr">
        <is>
          <t>Lot d'entreprise — valeur déclarée 1 500 000</t>
        </is>
      </c>
      <c r="B12" s="14" t="inlineStr">
        <is>
          <t>C5</t>
        </is>
      </c>
      <c r="C12" s="15" t="n">
        <v>1500000</v>
      </c>
      <c r="D12" s="15">
        <f>IF($B12="C5", ROUND(MAX(Parametres!$B$12, MIN(Parametres!$B$13, Parametres!$B$11*N($C12))),0), VLOOKUP($B12,Parametres!$A$4:$C$8,2,0))</f>
        <v/>
      </c>
      <c r="E12" s="14" t="inlineStr">
        <is>
          <t>—</t>
        </is>
      </c>
      <c r="F12" s="15">
        <f>IF($E12="Urgent", ROUND($D12*Parametres!$B$17,0), IF($E12="Conciergerie", Parametres!$B$18, IF($E12="Livraison", Parametres!$B$19, 0)))</f>
        <v/>
      </c>
      <c r="G12" s="15">
        <f>$D12+$F12</f>
        <v/>
      </c>
      <c r="H12" s="15">
        <f>IF($B12="C5", ROUND($D12*Parametres!$B$14,0), VLOOKUP($B12,Parametres!$A$4:$C$8,3,0))</f>
        <v/>
      </c>
      <c r="I12" s="15">
        <f>$G12-$H12</f>
        <v/>
      </c>
    </row>
    <row r="14">
      <c r="A14" s="3" t="inlineStr">
        <is>
          <t>Lecture : le supplément d'urgence alimente la commission Liguita (proposition — la récompense du trouveur reste celle de sa classe) ; la livraison est reversée au partenaire (proxy 2 500, sur devis). Montant toujours affiché avant paiement et figé dans un devis (price_quote).</t>
        </is>
      </c>
    </row>
  </sheetData>
  <mergeCells count="1"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2026-09-21T16:54:16Z</dcterms:created>
  <dcterms:modified xmlns:dcterms="http://purl.org/dc/terms/" xmlns:xsi="http://www.w3.org/2001/XMLSchema-instance" xsi:type="dcterms:W3CDTF">2026-09-21T16:54:16Z</dcterms:modified>
</cp:coreProperties>
</file>